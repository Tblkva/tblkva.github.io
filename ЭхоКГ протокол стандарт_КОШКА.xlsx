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printerSettings/printerSettings1.bin" ContentType="application/vnd.openxmlformats-officedocument.spreadsheetml.printerSettings"/>
</Types>
</file>

<file path=_rels/.rels><?xml version="1.0" 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s:workbook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unk2="http://schemas.microsoft.com/office/spreadsheetml/2018/calcfeatures" xmlns:s="http://schemas.openxmlformats.org/spreadsheetml/2006/main" xmlns:r="http://schemas.openxmlformats.org/officeDocument/2006/relationships" xmlns:unk1="http://schemas.microsoft.com/office/spreadsheetml/2010/11/main" mc:Ignorable="unk1 xr xr6 xr10 xr2">
  <s:fileVersion appName="xl" lastEdited="7" lowestEdited="7" rupBuild="29231"/>
  <s:workbookPr/>
  <s:bookViews>
    <s:workbookView xr2:uid="{00000000-000D-0000-FFFF-FFFF00000000}" xWindow="-108" yWindow="-108" windowWidth="23256" windowHeight="12456"/>
  </s:bookViews>
  <s:sheets>
    <s:sheet name="Лист1" sheetId="1" state="visible" r:id="rId1"/>
  </s:sheets>
  <s:calcPr calcId="191029"/>
  <s:extLst>
    <s:ext uri="{B58B0392-4F1F-4190-BB64-5DF3571DCE5F}">
      <unk2:calcFeatures>
        <unk2:feature name="microsoft.com:RD"/>
        <unk2:feature name="microsoft.com:Single"/>
        <unk2:feature name="microsoft.com:FV"/>
        <unk2:feature name="microsoft.com:CNMTM"/>
        <unk2:feature name="microsoft.com:LET_WF"/>
      </unk2:calcFeatures>
    </s:ext>
  </s:extLst>
</s:workbook>
</file>

<file path=xl/calcChain.xml><?xml version="1.0" encoding="utf-8"?>
<s:calcChain xmlns:s="http://schemas.openxmlformats.org/spreadsheetml/2006/main">
  <s:c r="G24" i="1" l="1"/>
  <s:c r="G28" i="1"/>
  <s:c r="G33" i="1"/>
  <s:c r="G35" i="1"/>
  <s:c r="B42" i="1"/>
  <s:c r="J48" i="1" s="1"/>
  <s:c r="E11" i="1"/>
  <s:c r="G52" i="1" l="1"/>
  <s:c r="G49" i="1"/>
  <s:c r="G43" i="1"/>
  <s:c r="G39" i="1"/>
  <s:c r="G29" i="1"/>
  <s:c r="G57" i="1" l="1"/>
  <s:c r="I66" i="1" l="1"/>
  <s:c r="G15" i="1" l="1"/>
</s:calcChain>
</file>

<file path=xl/sharedStrings.xml><?xml version="1.0" encoding="utf-8"?>
<s:sst xmlns:s="http://schemas.openxmlformats.org/spreadsheetml/2006/main" count="170" uniqueCount="103">
  <s:si>
    <s:t>УЛЬТРАЗВУКОВОЕ ИССЛЕДОВАНИЕ СЕРДЦА (ЭХОКАРДИОГРАФИЯ)</s:t>
  </s:si>
  <s:si>
    <s:t>Вид</s:t>
  </s:si>
  <s:si>
    <s:t>Кличка</s:t>
  </s:si>
  <s:si>
    <s:t>Порода</s:t>
  </s:si>
  <s:si>
    <s:t>нет</s:t>
  </s:si>
  <s:si>
    <s:t>кг</s:t>
  </s:si>
  <s:si>
    <s:t>Короткая ось</s:t>
  </s:si>
  <s:si>
    <s:t>ЛП/Ао</s:t>
  </s:si>
  <s:si>
    <s:t>Ао</s:t>
  </s:si>
  <s:si>
    <s:t>Длинная ось</s:t>
  </s:si>
  <s:si>
    <s:t>%</s:t>
  </s:si>
  <s:si>
    <s:t>ЛП max</s:t>
  </s:si>
  <s:si>
    <s:t>ЛВ</s:t>
  </s:si>
  <s:si>
    <s:t>ЛВ/ПВЛА</s:t>
  </s:si>
  <s:si>
    <s:t>ПВЛА</s:t>
  </s:si>
  <s:si>
    <s:t>ЛЕВЫЙ ЖЕЛУДОЧЕК</s:t>
  </s:si>
  <s:si>
    <s:t>МЖПд</s:t>
  </s:si>
  <s:si>
    <s:t>КДР</s:t>
  </s:si>
  <s:si>
    <s:t>ЗСЛЖд</s:t>
  </s:si>
  <s:si>
    <s:t>КСР</s:t>
  </s:si>
  <s:si>
    <s:t>мм</s:t>
  </s:si>
  <s:si>
    <s:t>ПРАВЫЙ ЖЕЛУДОЧЕК</s:t>
  </s:si>
  <s:si>
    <s:t>СПЖд</s:t>
  </s:si>
  <s:si>
    <s:t>ПЖ/ЛЖ</s:t>
  </s:si>
  <s:si>
    <s:t>МИТРАЛЬНЫЙ КЛАПАН</s:t>
  </s:si>
  <s:si>
    <s:t>Створки</s:t>
  </s:si>
  <s:si>
    <s:t>не изменены</s:t>
  </s:si>
  <s:si>
    <s:t>SAM</s:t>
  </s:si>
  <s:si>
    <s:t>Е</s:t>
  </s:si>
  <s:si>
    <s:t>м/c</s:t>
  </s:si>
  <s:si>
    <s:t>E/A</s:t>
  </s:si>
  <s:si>
    <s:t>А</s:t>
  </s:si>
  <s:si>
    <s:t>IVRT</s:t>
  </s:si>
  <s:si>
    <s:t>мс</s:t>
  </s:si>
  <s:si>
    <s:t>м/с</s:t>
  </s:si>
  <s:si>
    <s:t>Степень</s:t>
  </s:si>
  <s:si>
    <s:t>Скорость</s:t>
  </s:si>
  <s:si>
    <s:t>Градиент</s:t>
  </s:si>
  <s:si>
    <s:t>мм рт ст</s:t>
  </s:si>
  <s:si>
    <s:t>АОРТА</s:t>
  </s:si>
  <s:si>
    <s:t>Скорость потока</s:t>
  </s:si>
  <s:si>
    <s:t>ЛЁГОЧНАЯ АРТЕРИЯ</s:t>
  </s:si>
  <s:si>
    <s:t>Фиброзное кольцо</s:t>
  </s:si>
  <s:si>
    <s:t>ТРИКУСПИДАЛЬНЫЙ КЛАПАН</s:t>
  </s:si>
  <s:si>
    <s:t>ПРОЧЕЕ</s:t>
  </s:si>
  <s:si>
    <s:t>Ветеринарный врач:</s:t>
  </s:si>
  <s:si>
    <s:t xml:space="preserve">Ветеринарная клиника </s:t>
  </s:si>
  <s:si>
    <s:t>Чип</s:t>
  </s:si>
  <s:si>
    <s:t>СОСУДЫ МКК</s:t>
  </s:si>
  <s:si>
    <s:t>ПП</s:t>
  </s:si>
  <s:si>
    <s:t>В-линии:</s:t>
  </s:si>
  <s:si>
    <s:t>ПЖ</s:t>
  </s:si>
  <s:si>
    <s:t xml:space="preserve">Свободная жидкость в грудной полости </s:t>
  </s:si>
  <s:si>
    <s:t>Координация сократительной активности миокарда</s:t>
  </s:si>
  <s:si>
    <s:t>КОММЕНТАРИИ</s:t>
  </s:si>
  <s:si>
    <s:t>ЗАКЛЮЧЕНИЕ ПО РЕЗУЛЬТАТАМ ЭХОКАРДИОГРАФИИ</s:t>
  </s:si>
  <s:si>
    <s:t>без особенностей</s:t>
  </s:si>
  <s:si>
    <s:t>не выявлена</s:t>
  </s:si>
  <s:si>
    <s:t>не изменена</s:t>
  </s:si>
  <s:si>
    <s:t>не обнаружены</s:t>
  </s:si>
  <s:si>
    <s:t>Ао/ЛА</s:t>
  </s:si>
  <s:si>
    <s:t>Седация</s:t>
  </s:si>
  <s:si>
    <s:t>Признаки патологического шунтирования</s:t>
  </s:si>
  <s:si>
    <s:t>ДМПП</s:t>
  </s:si>
  <s:si>
    <s:t>ДМЖП</s:t>
  </s:si>
  <s:si>
    <s:t>ОАП</s:t>
  </s:si>
  <s:si>
    <s:t>Направление сброса</s:t>
  </s:si>
  <s:si>
    <s:t>не изменен</s:t>
  </s:si>
  <s:si>
    <s:t>Описание шунта</s:t>
  </s:si>
  <s:si>
    <s:t>СПЖ/ЗСЛЖ</s:t>
  </s:si>
  <s:si>
    <s:t>* не является кардиологическим диагнозом и должно рассматриваться в комплексе с другими исследованиями)</s:t>
  </s:si>
  <s:si>
    <s:t xml:space="preserve">ЛЕВОЕ ПРЕДСЕРДИЕ </s:t>
  </s:si>
  <s:si>
    <s:t>не расширено</s:t>
  </s:si>
  <s:si>
    <s:t>Визуальная оценка</s:t>
  </s:si>
  <s:si>
    <s:t>пол</s:t>
  </s:si>
  <s:si>
    <s:t>ПРАВОЕ ПРЕДСЕРДИЕ</s:t>
  </s:si>
  <s:si>
    <s:t>E'</s:t>
  </s:si>
  <s:si>
    <s:t>E/E'</s:t>
  </s:si>
  <s:si>
    <s:t>Регургитация</s:t>
  </s:si>
  <s:si>
    <s:t>Стеноз</s:t>
  </s:si>
  <s:si>
    <s:t>ВТЛЖ</s:t>
  </s:si>
  <s:si>
    <s:t>ВТПЖ</s:t>
  </s:si>
  <s:si>
    <s:t xml:space="preserve">Степень </s:t>
  </s:si>
  <s:si>
    <s:t>ФИО владельца</s:t>
  </s:si>
  <s:si>
    <s:t>Вероятность лёгочной гипертензии</s:t>
  </s:si>
  <s:si>
    <s:t>низкая</s:t>
  </s:si>
  <s:si>
    <s:t>кошка</s:t>
  </s:si>
  <s:si>
    <s:t>Папиллярные мышцы</s:t>
  </s:si>
  <s:si>
    <s:t>Спонтанное контрастирование</s:t>
  </s:si>
  <s:si>
    <s:t>*список показателей может быть расширен на усмотрение врача с учётом клинической ситуации</s:t>
  </s:si>
  <s:si>
    <s:t>Формат протокола рекомендован Кардиологическим Ветеринарным Обществом</s:t>
  </s:si>
  <s:si>
    <s:t>Зоны гипокинеза/ акинеза</s:t>
  </s:si>
  <s:si>
    <s:t xml:space="preserve">Регургитация </s:t>
  </s:si>
  <s:si>
    <s:t>Локальная гипертрофия</s:t>
  </s:si>
  <s:si>
    <s:t>базальный/средний/апикальный уровни - не выявлено</s:t>
  </s:si>
  <s:si>
    <s:t>ФУ</s:t>
  </s:si>
  <s:si>
    <s:t>Ствол</s:t>
  </s:si>
  <s:si>
    <s:t>Дата: 17.08.25</s:t>
  </s:si>
  <s:si>
    <s:t>Полость перикарда</s:t>
  </s:si>
  <s:si>
    <s:t>Масса тела</s:t>
  </s:si>
  <s:si>
    <s:t>возраст</s:t>
  </s:si>
  <s:si>
    <s:t>А'</s:t>
  </s:si>
  <s:si>
    <s:t>см/с</s:t>
  </s:si>
</s:sst>
</file>

<file path=xl/styles.xml><?xml version="1.0" encoding="utf-8"?>
<s:styleSheet xmlns:s="http://schemas.openxmlformats.org/spreadsheetml/2006/main" xmlns:vyd="http://volga.yandex.com/schemas/document/model" xmlns:unk1="http://schemas.microsoft.com/office/spreadsheetml/2010/11/main" xmlns:x16r2="http://schemas.microsoft.com/office/spreadsheetml/2015/02/main" xmlns:x14ac="http://schemas.microsoft.com/office/spreadsheetml/2009/9/ac" xmlns:x14="http://schemas.microsoft.com/office/spreadsheetml/2009/9/main" xmlns:xr="http://schemas.microsoft.com/office/spreadsheetml/2014/revision" xmlns:mc="http://schemas.openxmlformats.org/markup-compatibility/2006" mc:Ignorable="x14ac x16r2 xr">
  <s:numFmts count="1">
    <s:numFmt numFmtId="164" formatCode="dd/mm/yy;@"/>
  </s:numFmts>
  <s:fonts x14ac:knownFonts="1" count="12">
    <s:font>
      <s:name val="Calibri"/>
      <s:sz val="11"/>
      <s:scheme val="minor"/>
    </s:font>
    <s:font>
      <s:name val="Calibri"/>
      <s:b val="1"/>
      <s:color rgb="FF44546A"/>
      <s:sz val="14"/>
    </s:font>
    <s:font>
      <s:name val="Calibri"/>
      <s:sz val="11"/>
    </s:font>
    <s:font>
      <s:name val="Calibri"/>
      <s:charset val="204"/>
      <s:family val="2"/>
      <s:b val="1"/>
      <s:color rgb="FF44546A"/>
      <s:sz val="14"/>
    </s:font>
    <s:font>
      <s:name val="Calibri"/>
      <s:charset val="204"/>
      <s:family val="2"/>
      <s:b val="1"/>
      <s:color theme="3"/>
      <s:sz val="15"/>
      <s:scheme val="minor"/>
    </s:font>
    <s:font>
      <s:name val="Calibri"/>
      <s:charset val="204"/>
      <s:family val="2"/>
      <s:b val="1"/>
      <s:color theme="3"/>
      <s:sz val="13"/>
      <s:scheme val="minor"/>
    </s:font>
    <s:font>
      <s:name val="Calibri"/>
      <s:charset val="204"/>
      <s:family val="2"/>
      <s:sz val="11"/>
      <s:scheme val="minor"/>
    </s:font>
    <s:font>
      <s:name val="Calibri"/>
      <s:charset val="204"/>
      <s:family val="2"/>
      <s:b val="1"/>
      <s:color theme="3"/>
      <s:sz val="11"/>
      <s:scheme val="minor"/>
    </s:font>
    <s:font>
      <s:name val="Calibri"/>
      <s:charset val="204"/>
      <s:family val="2"/>
      <s:sz val="10"/>
      <s:scheme val="minor"/>
    </s:font>
    <s:font>
      <s:name val="Calibri"/>
      <s:charset val="204"/>
      <s:family val="2"/>
      <s:b val="1"/>
      <s:color theme="1"/>
      <s:sz val="11"/>
      <s:scheme val="minor"/>
    </s:font>
    <s:font>
      <s:name val="Calibri"/>
      <s:charset val="204"/>
      <s:family val="2"/>
      <s:b val="1"/>
      <s:color theme="3"/>
      <s:sz val="14"/>
      <s:scheme val="minor"/>
    </s:font>
    <s:font>
      <s:name val="Calibri"/>
      <s:charset val="204"/>
      <s:family val="2"/>
      <s:b val="1"/>
      <s:color theme="3"/>
      <s:sz val="12"/>
      <s:scheme val="minor"/>
    </s:font>
  </s:fonts>
  <s:fills count="2">
    <s:fill>
      <s:patternFill patternType="none"/>
    </s:fill>
    <s:fill>
      <s:patternFill patternType="gray125"/>
    </s:fill>
  </s:fills>
  <s:borders count="7">
    <s:border>
      <s:left/>
      <s:right/>
      <s:top/>
      <s:bottom/>
      <s:diagonal/>
    </s:border>
    <s:border>
      <s:left/>
      <s:right/>
      <s:top/>
      <s:bottom style="thick">
        <s:color theme="4"/>
      </s:bottom>
      <s:diagonal/>
    </s:border>
    <s:border>
      <s:left/>
      <s:right/>
      <s:top/>
      <s:bottom style="thick">
        <s:color theme="4" tint="0.5"/>
      </s:bottom>
      <s:diagonal/>
    </s:border>
    <s:border>
      <s:left/>
      <s:right/>
      <s:top/>
      <s:bottom style="medium">
        <s:color theme="4" tint="0.4"/>
      </s:bottom>
      <s:diagonal/>
    </s:border>
    <s:border>
      <s:left/>
      <s:right/>
      <s:top style="thick">
        <s:color theme="4"/>
      </s:top>
      <s:bottom/>
      <s:diagonal/>
    </s:border>
    <s:border>
      <s:left/>
      <s:right/>
      <s:top style="thin">
        <s:color theme="4"/>
      </s:top>
      <s:bottom style="double">
        <s:color theme="4"/>
      </s:bottom>
      <s:diagonal/>
    </s:border>
    <s:border>
      <s:left/>
      <s:right/>
      <s:top style="medium">
        <s:color theme="4" tint="0.4"/>
      </s:top>
      <s:bottom/>
      <s:diagonal/>
    </s:border>
  </s:borders>
  <s:cellStyleXfs count="6">
    <s:xf numFmtId="0" fontId="0" fillId="0" borderId="0"/>
    <s:xf numFmtId="0" fontId="4" fillId="0" borderId="1" applyNumberFormat="0" applyFill="0" applyAlignment="0" applyProtection="0"/>
    <s:xf numFmtId="0" fontId="5" fillId="0" borderId="2" applyNumberFormat="0" applyFill="0" applyAlignment="0" applyProtection="0"/>
    <s:xf numFmtId="0" fontId="7" fillId="0" borderId="3" applyNumberFormat="0" applyFill="0" applyAlignment="0" applyProtection="0"/>
    <s:xf numFmtId="0" fontId="7" fillId="0" borderId="0" applyNumberFormat="0" applyFill="0" applyBorder="0" applyAlignment="0" applyProtection="0"/>
    <s:xf numFmtId="0" fontId="9" fillId="0" borderId="5" applyNumberFormat="0" applyFill="0" applyAlignment="0" applyProtection="0"/>
  </s:cellStyleXfs>
  <s:cellXfs count="39">
    <s:xf numFmtId="0" fontId="0" fillId="0" borderId="0" xfId="0"/>
    <s:xf numFmtId="2" fontId="2" fillId="0" borderId="0" xfId="0" applyNumberFormat="1" applyFont="1" applyAlignment="1">
      <s:alignment horizontal="left" vertical="top" mc:Ignorable="vyd"/>
    </s:xf>
    <s:xf numFmtId="2" fontId="0" fillId="0" borderId="0" xfId="0" applyNumberFormat="1"/>
    <s:xf numFmtId="2" fontId="5" fillId="0" borderId="2" xfId="2" applyNumberFormat="1"/>
    <s:xf numFmtId="2" fontId="0" fillId="0" borderId="0" xfId="0" applyNumberFormat="1" applyAlignment="1">
      <s:alignment horizontal="left" mc:Ignorable="vyd"/>
    </s:xf>
    <s:xf numFmtId="2" fontId="6" fillId="0" borderId="0" xfId="0" applyNumberFormat="1" applyFont="1"/>
    <s:xf numFmtId="2" fontId="6" fillId="0" borderId="0" xfId="0" applyNumberFormat="1" applyFont="1" applyAlignment="1">
      <s:alignment horizontal="left" mc:Ignorable="vyd"/>
    </s:xf>
    <s:xf numFmtId="2" fontId="8" fillId="0" borderId="0" xfId="0" applyNumberFormat="1" applyFont="1" applyAlignment="1">
      <s:alignment horizontal="left" mc:Ignorable="vyd"/>
    </s:xf>
    <s:xf numFmtId="2" fontId="4" fillId="0" borderId="1" xfId="1" applyNumberFormat="1" applyAlignment="1"/>
    <s:xf numFmtId="2" fontId="0" fillId="0" borderId="0" xfId="0" applyNumberFormat="1" applyAlignment="1">
      <s:alignment horizontal="center" mc:Ignorable="vyd"/>
    </s:xf>
    <s:xf numFmtId="2" fontId="0" fillId="0" borderId="0" xfId="0" applyNumberFormat="1" applyAlignment="1">
      <s:alignment horizontal="right" mc:Ignorable="vyd"/>
    </s:xf>
    <s:xf numFmtId="164" fontId="7" fillId="0" borderId="3" xfId="3" applyNumberFormat="1"/>
    <s:xf numFmtId="2" fontId="8" fillId="0" borderId="6" xfId="0" applyNumberFormat="1" applyFont="1" applyBorder="1" applyAlignment="1">
      <s:alignment horizontal="center" mc:Ignorable="vyd"/>
    </s:xf>
    <s:xf numFmtId="0" fontId="0" fillId="0" borderId="0" xfId="0"/>
    <s:xf numFmtId="2" fontId="6" fillId="0" borderId="0" xfId="0" applyNumberFormat="1" applyFont="1" applyAlignment="1">
      <s:alignment horizontal="center" mc:Ignorable="vyd"/>
    </s:xf>
    <s:xf numFmtId="2" fontId="0" fillId="0" borderId="0" xfId="0" applyNumberFormat="1" applyAlignment="1">
      <s:alignment horizontal="center" mc:Ignorable="vyd"/>
    </s:xf>
    <s:xf numFmtId="2" fontId="0" fillId="0" borderId="0" xfId="0" applyNumberFormat="1" applyAlignment="1">
      <s:alignment horizontal="left" mc:Ignorable="vyd"/>
    </s:xf>
    <s:xf numFmtId="164" fontId="5" fillId="0" borderId="2" xfId="2" applyNumberFormat="1" applyAlignment="1">
      <s:alignment horizontal="left" mc:Ignorable="vyd"/>
    </s:xf>
    <s:xf numFmtId="2" fontId="5" fillId="0" borderId="2" xfId="2" applyNumberFormat="1" applyAlignment="1">
      <s:alignment horizontal="left" mc:Ignorable="vyd"/>
    </s:xf>
    <s:xf numFmtId="2" fontId="7" fillId="0" borderId="3" xfId="3" applyNumberFormat="1" applyAlignment="1">
      <s:alignment horizontal="left" mc:Ignorable="vyd"/>
    </s:xf>
    <s:xf numFmtId="2" fontId="10" fillId="0" borderId="1" xfId="1" applyNumberFormat="1" applyFont="1" applyAlignment="1">
      <s:alignment horizontal="center" mc:Ignorable="vyd"/>
    </s:xf>
    <s:xf numFmtId="2" fontId="0" fillId="0" borderId="4" xfId="0" applyNumberFormat="1" applyBorder="1" applyAlignment="1">
      <s:alignment horizontal="center" wrapText="1" mc:Ignorable="vyd"/>
    </s:xf>
    <s:xf numFmtId="2" fontId="0" fillId="0" borderId="0" xfId="0" applyNumberFormat="1" applyAlignment="1">
      <s:alignment horizontal="center" wrapText="1" mc:Ignorable="vyd"/>
    </s:xf>
    <s:xf numFmtId="2" fontId="11" fillId="0" borderId="1" xfId="1" applyNumberFormat="1" applyFont="1" applyAlignment="1">
      <s:alignment horizontal="left" mc:Ignorable="vyd"/>
    </s:xf>
    <s:xf numFmtId="2" fontId="9" fillId="0" borderId="5" xfId="5" applyNumberFormat="1" applyAlignment="1">
      <s:alignment horizontal="center" mc:Ignorable="vyd"/>
    </s:xf>
    <s:xf numFmtId="2" fontId="0" fillId="0" borderId="0" xfId="0" applyNumberFormat="1" applyAlignment="1">
      <s:alignment horizontal="right" mc:Ignorable="vyd"/>
    </s:xf>
    <s:xf numFmtId="2" fontId="11" fillId="0" borderId="1" xfId="1" applyNumberFormat="1" applyFont="1" applyAlignment="1">
      <s:alignment horizontal="center" mc:Ignorable="vyd"/>
    </s:xf>
    <s:xf numFmtId="2" fontId="3" fillId="0" borderId="0" xfId="0" applyNumberFormat="1" applyFont="1" applyAlignment="1">
      <s:alignment horizontal="center" vertical="top" mc:Ignorable="vyd"/>
    </s:xf>
    <s:xf numFmtId="2" fontId="1" fillId="0" borderId="0" xfId="0" applyNumberFormat="1" applyFont="1" applyAlignment="1">
      <s:alignment horizontal="center" vertical="top" wrapText="1" mc:Ignorable="vyd"/>
    </s:xf>
    <s:xf numFmtId="2" fontId="5" fillId="0" borderId="2" xfId="2" applyNumberFormat="1" applyAlignment="1">
      <s:alignment horizontal="center" mc:Ignorable="vyd"/>
    </s:xf>
    <s:xf numFmtId="2" fontId="7" fillId="0" borderId="2" xfId="2" applyNumberFormat="1" applyFont="1" applyAlignment="1">
      <s:alignment horizontal="left" mc:Ignorable="vyd"/>
    </s:xf>
    <s:xf numFmtId="2" fontId="7" fillId="0" borderId="3" xfId="3" applyNumberFormat="1"/>
    <s:xf numFmtId="2" fontId="0" fillId="0" borderId="0" xfId="0" applyNumberFormat="1"/>
    <s:xf numFmtId="2" fontId="5" fillId="0" borderId="2" xfId="2" applyNumberFormat="1" applyAlignment="1">
      <s:alignment horizontal="center" vertical="top" mc:Ignorable="vyd"/>
    </s:xf>
    <s:xf numFmtId="2" fontId="7" fillId="0" borderId="0" xfId="4" applyNumberFormat="1"/>
    <s:xf numFmtId="2" fontId="7" fillId="0" borderId="3" xfId="3" applyNumberFormat="1" applyAlignment="1">
      <s:alignment horizontal="center" mc:Ignorable="vyd"/>
    </s:xf>
    <s:xf numFmtId="2" fontId="8" fillId="0" borderId="0" xfId="0" applyNumberFormat="1" applyFont="1" applyAlignment="1">
      <s:alignment horizontal="center" vertical="center" wrapText="1" mc:Ignorable="vyd"/>
    </s:xf>
    <s:xf numFmtId="2" fontId="0" fillId="0" borderId="0" xfId="0" applyNumberFormat="1" applyAlignment="1">
      <s:alignment horizontal="center" vertical="center" wrapText="1" mc:Ignorable="vyd"/>
    </s:xf>
    <s:xf numFmtId="2" fontId="0" fillId="0" borderId="4" xfId="0" applyNumberFormat="1" applyBorder="1" applyAlignment="1">
      <s:alignment horizontal="left" mc:Ignorable="vyd"/>
    </s:xf>
  </s:cellXfs>
  <s:cellStyles count="6">
    <s:cellStyle name="Заголовок 1" xfId="1" builtinId="16"/>
    <s:cellStyle name="Заголовок 2" xfId="2" builtinId="17"/>
    <s:cellStyle name="Заголовок 3" xfId="3" builtinId="18"/>
    <s:cellStyle name="Заголовок 4" xfId="4" builtinId="19"/>
    <s:cellStyle name="Итог" xfId="5" builtinId="25"/>
    <s:cellStyle name="Обычный" xfId="0" builtinId="0"/>
  </s:cellStyles>
  <s:dxfs count="1">
    <s:dxf>
      <s:fill>
        <s:patternFill patternType="none"/>
      </s:fill>
    </s:dxf>
  </s:dxfs>
  <s:tableStyles count="0" defaultTableStyle="TableStyleMedium2" defaultPivotStyle="PivotStyleLight16"/>
  <s:extLst>
    <s:ext uri="{EB79DEF2-80B8-43e5-95BD-54CBDDF9020C}">
      <x14:slicerStyles defaultSlicerStyle="SlicerStyleLight1"/>
    </s:ext>
    <s:ext uri="{9260A510-F301-46a8-8635-F512D64BE5F5}">
      <unk1:timelineStyles defaultTimelineStyle="TimeSlicerStyleLight1"/>
    </s:ext>
  </s:extLst>
</s:styleSheet>
</file>

<file path=xl/_rels/workbook.xml.rels><?xml version="1.0" ?><Relationships xmlns="http://schemas.openxmlformats.org/package/2006/relationships"><Relationship Id="rId2" Type="http://schemas.openxmlformats.org/officeDocument/2006/relationships/styles" Target="styl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Target="theme/theme1.xml" Type="http://schemas.openxmlformats.org/officeDocument/2006/relationships/theme" Id="rId3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Tfng" typeface="Ebrima"/>
      </a:majorFont>
      <a:minorFont>
        <a:latin typeface="Calibri" panose="020F0502020204030204"/>
        <a:ea typeface=""/>
        <a:cs typeface="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?>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s:worksheet xmlns:s="http://schemas.openxmlformats.org/spreadsheetml/2006/main" xmlns:r="http://schemas.openxmlformats.org/officeDocument/2006/relationships" xmlns:x14ac="http://schemas.microsoft.com/office/spreadsheetml/2009/9/ac" xmlns:xr="http://schemas.microsoft.com/office/spreadsheetml/2014/revision" xmlns:mc="http://schemas.openxmlformats.org/markup-compatibility/2006" xmlns:xr2="http://schemas.microsoft.com/office/spreadsheetml/2015/revision2" xmlns:xr3="http://schemas.microsoft.com/office/spreadsheetml/2016/revision3" mc:Ignorable="x14ac xr xr2 xr3" xr:uid="{00000000-0001-0000-0000-000000000000}">
  <s:dimension ref="A1:Q103"/>
  <s:sheetViews>
    <s:sheetView tabSelected="0" topLeftCell="A11" zoomScale="110" zoomScaleNormal="110" workbookViewId="0">
      <s:selection activeCell="B24" sqref="B24"/>
    </s:sheetView>
  </s:sheetViews>
  <s:sheetFormatPr x14ac:dyDescent="0.3" defaultColWidth="14.441" defaultRowHeight="15" customHeight="1"/>
  <s:cols>
    <s:col min="1" max="1" width="17" style="2" customWidth="1"/>
    <s:col min="2" max="2" width="7.219" style="2" customWidth="1"/>
    <s:col min="3" max="3" width="5.555" style="2" customWidth="1"/>
    <s:col min="4" max="4" width="9" style="2" customWidth="1"/>
    <s:col min="5" max="5" width="5.777" style="2" customWidth="1"/>
    <s:col min="6" max="6" width="11.332" style="2" customWidth="1"/>
    <s:col min="7" max="7" width="7.887" style="2" customWidth="1"/>
    <s:col min="8" max="8" width="5.664" style="2" customWidth="1"/>
    <s:col min="9" max="9" width="9.555" style="2" customWidth="1"/>
    <s:col min="10" max="10" width="7.887" style="2" customWidth="1"/>
    <s:col min="11" max="17" width="9.109" style="2" customWidth="1"/>
    <s:col min="18" max="16384" width="14.441" style="2"/>
  </s:cols>
  <s:sheetData>
    <s:row x14ac:dyDescent="0.3" r="1" spans="1:10" ht="19.5" customHeight="1">
      <s:c r="A1" s="27" t="s">
        <s:v>46</s:v>
      </s:c>
      <s:c r="B1" s="27"/>
      <s:c r="C1" s="27"/>
      <s:c r="D1" s="27"/>
      <s:c r="E1" s="27"/>
      <s:c r="F1" s="27"/>
      <s:c r="G1" s="27"/>
      <s:c r="H1" s="27"/>
      <s:c r="I1" s="27"/>
      <s:c r="J1" s="27"/>
    </s:row>
    <s:row x14ac:dyDescent="0.3" r="2" spans="1:10" ht="18.75" customHeight="1">
      <s:c r="A2" s="28" t="s">
        <s:v>0</s:v>
      </s:c>
      <s:c r="B2" s="28"/>
      <s:c r="C2" s="28"/>
      <s:c r="D2" s="28"/>
      <s:c r="E2" s="28"/>
      <s:c r="F2" s="28"/>
      <s:c r="G2" s="28"/>
      <s:c r="H2" s="28"/>
      <s:c r="I2" s="28"/>
      <s:c r="J2" s="28"/>
    </s:row>
    <s:row x14ac:dyDescent="0.4" r="3" spans="1:10" ht="14.25" customHeight="1" thickBot="1">
      <s:c r="A3" s="33"/>
      <s:c r="B3" s="33"/>
      <s:c r="C3" s="33"/>
      <s:c r="D3" s="33"/>
      <s:c r="E3" s="33"/>
      <s:c r="F3" s="33"/>
      <s:c r="G3" s="33"/>
      <s:c r="H3" s="33"/>
      <s:c r="I3" s="3"/>
      <s:c r="J3" s="3"/>
    </s:row>
    <s:row x14ac:dyDescent="0.4" r="4" spans="1:10" ht="18" customHeight="1" thickTop="1" thickBot="1">
      <s:c r="A4" s="18" t="s">
        <s:v>83</s:v>
      </s:c>
      <s:c r="B4" s="18"/>
      <s:c r="C4" s="29"/>
      <s:c r="D4" s="29"/>
      <s:c r="E4" s="29"/>
      <s:c r="F4" s="29"/>
      <s:c r="G4" s="29"/>
      <s:c r="H4" s="29"/>
      <s:c r="I4" s="29"/>
      <s:c r="J4" s="29"/>
    </s:row>
    <s:row x14ac:dyDescent="0.4" r="5" spans="1:10" ht="18.75" customHeight="1" thickTop="1" thickBot="1">
      <s:c r="A5" s="3" t="s">
        <s:v>1</s:v>
      </s:c>
      <s:c r="B5" s="31" t="s">
        <s:v>86</s:v>
      </s:c>
      <s:c r="C5" s="31"/>
      <s:c r="D5" s="3" t="s">
        <s:v>2</s:v>
      </s:c>
      <s:c r="E5" s="29"/>
      <s:c r="F5" s="29"/>
      <s:c r="G5" s="29"/>
      <s:c r="H5" s="29"/>
      <s:c r="I5" s="29"/>
      <s:c r="J5" s="29"/>
    </s:row>
    <s:row x14ac:dyDescent="0.4" r="6" spans="1:10" ht="18.75" customHeight="1" thickTop="1" thickBot="1">
      <s:c r="A6" s="3" t="s">
        <s:v>3</s:v>
      </s:c>
      <s:c r="B6" s="31"/>
      <s:c r="C6" s="31"/>
      <s:c r="D6" s="31"/>
      <s:c r="E6" s="31"/>
      <s:c r="F6" s="3" t="s">
        <s:v>74</s:v>
      </s:c>
      <s:c r="G6" s="31"/>
      <s:c r="H6" s="31"/>
      <s:c r="I6" s="3" t="s">
        <s:v>100</s:v>
      </s:c>
      <s:c r="J6" s="11"/>
    </s:row>
    <s:row x14ac:dyDescent="0.3" r="7" spans="1:10" ht="18.75" customHeight="1" thickTop="1">
      <s:c r="A7" s="34" t="s">
        <s:v>47</s:v>
      </s:c>
      <s:c r="B7" s="34"/>
      <s:c r="C7" s="32"/>
      <s:c r="D7" s="32"/>
      <s:c r="E7" s="32"/>
      <s:c r="F7" s="32"/>
      <s:c r="G7" s="32"/>
      <s:c r="H7" s="32"/>
    </s:row>
    <s:row x14ac:dyDescent="0.3" r="8" spans="1:10" s="4" customFormat="1" ht="14.25" customHeight="1">
      <s:c r="A8" s="6" t="s">
        <s:v>99</s:v>
      </s:c>
      <s:c r="C8" s="4" t="s">
        <s:v>5</s:v>
      </s:c>
      <s:c r="F8" s="2"/>
      <s:c r="G8" s="32" t="s">
        <s:v>61</s:v>
      </s:c>
      <s:c r="H8" s="32"/>
      <s:c r="I8" s="2" t="s">
        <s:v>4</s:v>
      </s:c>
      <s:c r="J8" s="2"/>
    </s:row>
    <s:row x14ac:dyDescent="0.35" r="9" spans="1:10" s="4" customFormat="1" ht="19.5" customHeight="1" thickBot="1">
      <s:c r="A9" s="23" t="s">
        <s:v>71</s:v>
      </s:c>
      <s:c r="B9" s="23"/>
      <s:c r="C9" s="23"/>
      <s:c r="D9" s="23"/>
      <s:c r="E9" s="23"/>
      <s:c r="F9" s="23"/>
      <s:c r="G9" s="23"/>
      <s:c r="H9" s="23"/>
      <s:c r="I9" s="23"/>
      <s:c r="J9" s="23"/>
    </s:row>
    <s:row x14ac:dyDescent="0.35" r="10" spans="1:10" s="4" customFormat="1" ht="14.25" customHeight="1" thickTop="1" thickBot="1">
      <s:c r="A10" s="19" t="s">
        <s:v>6</s:v>
      </s:c>
      <s:c r="B10" s="19"/>
      <s:c r="C10" s="19"/>
      <s:c r="D10" s="19"/>
      <s:c r="E10" s="19"/>
      <s:c r="F10" s="19" t="s">
        <s:v>9</s:v>
      </s:c>
      <s:c r="G10" s="19"/>
      <s:c r="H10" s="19"/>
      <s:c r="I10" s="19"/>
      <s:c r="J10" s="19"/>
    </s:row>
    <s:row x14ac:dyDescent="0.3" r="11" spans="1:10" s="4" customFormat="1" ht="14.25" customHeight="1">
      <s:c r="A11" s="4" t="s">
        <s:v>11</s:v>
      </s:c>
      <s:c r="C11" s="4" t="s">
        <s:v>20</s:v>
      </s:c>
      <s:c r="D11" s="4" t="s">
        <s:v>7</s:v>
      </s:c>
      <s:c r="E11" s="4" t="e">
        <s:f>B11/B12</s:f>
        <s:v>#DIV/0!</s:v>
      </s:c>
      <s:c r="F11" s="4" t="s">
        <s:v>11</s:v>
      </s:c>
      <s:c r="H11" s="4" t="s">
        <s:v>20</s:v>
      </s:c>
    </s:row>
    <s:row x14ac:dyDescent="0.3" r="12" spans="1:10" s="4" customFormat="1" ht="14.25" customHeight="1">
      <s:c r="A12" s="4" t="s">
        <s:v>8</s:v>
      </s:c>
      <s:c r="C12" s="4" t="s">
        <s:v>20</s:v>
      </s:c>
    </s:row>
    <s:row x14ac:dyDescent="0.3" r="13" spans="1:10" s="4" customFormat="1" ht="14.25" customHeight="1">
      <s:c r="A13" s="4" t="s">
        <s:v>88</s:v>
      </s:c>
      <s:c r="D13" s="4" t="s">
        <s:v>4</s:v>
      </s:c>
    </s:row>
    <s:row x14ac:dyDescent="0.35" r="14" spans="1:10" s="4" customFormat="1" ht="14.25" customHeight="1" thickBot="1">
      <s:c r="A14" s="30" t="s">
        <s:v>48</s:v>
      </s:c>
      <s:c r="B14" s="30"/>
      <s:c r="C14" s="30"/>
      <s:c r="D14" s="30"/>
      <s:c r="E14" s="30"/>
      <s:c r="F14" s="30"/>
      <s:c r="G14" s="30"/>
      <s:c r="H14" s="30"/>
      <s:c r="I14" s="30"/>
      <s:c r="J14" s="30"/>
    </s:row>
    <s:row x14ac:dyDescent="0.3" r="15" spans="1:10" s="4" customFormat="1" ht="14.25" customHeight="1" thickTop="1">
      <s:c r="A15" s="4" t="s">
        <s:v>12</s:v>
      </s:c>
      <s:c r="C15" s="4" t="s">
        <s:v>20</s:v>
      </s:c>
      <s:c r="F15" s="4" t="s">
        <s:v>13</s:v>
      </s:c>
      <s:c r="G15" s="4" t="e">
        <s:f>B15/B16</s:f>
        <s:v>#DIV/0!</s:v>
      </s:c>
    </s:row>
    <s:row x14ac:dyDescent="0.3" r="16" spans="1:10" s="4" customFormat="1" ht="14.25" customHeight="1">
      <s:c r="A16" s="4" t="s">
        <s:v>14</s:v>
      </s:c>
      <s:c r="C16" s="4" t="s">
        <s:v>20</s:v>
      </s:c>
      <s:c r="F16" s="4" t="s">
        <s:v>50</s:v>
      </s:c>
      <s:c r="G16" s="2" t="s">
        <s:v>4</s:v>
      </s:c>
      <s:c r="H16" s="2"/>
    </s:row>
    <s:row x14ac:dyDescent="0.35" r="17" spans="1:10" s="4" customFormat="1" ht="19.5" customHeight="1" thickBot="1">
      <s:c r="A17" s="23" t="s">
        <s:v>15</s:v>
      </s:c>
      <s:c r="B17" s="23"/>
      <s:c r="C17" s="23"/>
      <s:c r="D17" s="23"/>
      <s:c r="E17" s="23"/>
      <s:c r="F17" s="23"/>
      <s:c r="G17" s="23"/>
      <s:c r="H17" s="23"/>
      <s:c r="I17" s="23"/>
      <s:c r="J17" s="23"/>
    </s:row>
    <s:row x14ac:dyDescent="0.35" r="18" spans="1:10" s="4" customFormat="1" ht="14.25" customHeight="1" thickTop="1" thickBot="1">
      <s:c r="A18" s="19" t="s">
        <s:v>9</s:v>
      </s:c>
      <s:c r="B18" s="19"/>
      <s:c r="C18" s="19"/>
      <s:c r="D18" s="19"/>
      <s:c r="E18" s="19"/>
      <s:c r="F18" s="19" t="s">
        <s:v>6</s:v>
      </s:c>
      <s:c r="G18" s="19"/>
      <s:c r="H18" s="19"/>
      <s:c r="I18" s="19"/>
      <s:c r="J18" s="19"/>
    </s:row>
    <s:row x14ac:dyDescent="0.3" r="19" spans="1:10" s="4" customFormat="1" ht="14.25" customHeight="1">
      <s:c r="A19" s="4" t="s">
        <s:v>16</s:v>
      </s:c>
      <s:c r="C19" s="4" t="s">
        <s:v>20</s:v>
      </s:c>
      <s:c r="F19" s="4" t="s">
        <s:v>16</s:v>
      </s:c>
      <s:c r="H19" s="4" t="s">
        <s:v>20</s:v>
      </s:c>
    </s:row>
    <s:row x14ac:dyDescent="0.3" r="20" spans="1:10" s="4" customFormat="1" ht="14.25" customHeight="1">
      <s:c r="A20" s="4" t="s">
        <s:v>18</s:v>
      </s:c>
      <s:c r="C20" s="4" t="s">
        <s:v>20</s:v>
      </s:c>
      <s:c r="F20" s="4" t="s">
        <s:v>18</s:v>
      </s:c>
      <s:c r="H20" s="4" t="s">
        <s:v>20</s:v>
      </s:c>
    </s:row>
    <s:row x14ac:dyDescent="0.3" r="21" spans="1:10" s="4" customFormat="1" ht="13.2" customHeight="1">
      <s:c r="A21" s="15" t="s">
        <s:v>93</s:v>
      </s:c>
      <s:c r="B21" s="15"/>
      <s:c r="C21" s="15"/>
      <s:c r="D21" s="15" t="s">
        <s:v>94</s:v>
      </s:c>
      <s:c r="E21" s="15"/>
      <s:c r="F21" s="15"/>
      <s:c r="G21" s="15"/>
      <s:c r="H21" s="15"/>
      <s:c r="I21" s="15"/>
      <s:c r="J21" s="15"/>
    </s:row>
    <s:row x14ac:dyDescent="0.3" r="22" spans="1:10" s="4" customFormat="1" ht="13.2" customHeight="1">
      <s:c r="A22" s="15" t="s">
        <s:v>87</s:v>
      </s:c>
      <s:c r="B22" s="15"/>
      <s:c r="C22" s="15"/>
      <s:c r="D22" s="25" t="s">
        <s:v>56</s:v>
      </s:c>
      <s:c r="E22" s="25"/>
      <s:c r="F22" s="25"/>
      <s:c r="G22" s="9"/>
      <s:c r="H22" s="9"/>
      <s:c r="I22" s="9"/>
      <s:c r="J22" s="9"/>
    </s:row>
    <s:row x14ac:dyDescent="0.3" r="23" spans="1:10" s="4" customFormat="1" ht="13.2" customHeight="1">
      <s:c r="A23" s="4" t="s">
        <s:v>17</s:v>
      </s:c>
      <s:c r="B23" s="9"/>
      <s:c r="C23" s="9" t="s">
        <s:v>20</s:v>
      </s:c>
      <s:c r="D23" s="10"/>
      <s:c r="E23" s="10"/>
      <s:c r="F23" s="10"/>
      <s:c r="G23" s="9"/>
      <s:c r="H23" s="9"/>
      <s:c r="I23" s="9"/>
      <s:c r="J23" s="9"/>
    </s:row>
    <s:row x14ac:dyDescent="0.3" r="24" spans="1:10" s="4" customFormat="1" ht="13.2" customHeight="1">
      <s:c r="A24" s="4" t="s">
        <s:v>19</s:v>
      </s:c>
      <s:c r="B24" s="9"/>
      <s:c r="C24" s="9" t="s">
        <s:v>20</s:v>
      </s:c>
      <s:c r="D24" s="10"/>
      <s:c r="E24" s="10"/>
      <s:c r="F24" s="4" t="s">
        <s:v>95</s:v>
      </s:c>
      <s:c r="G24" s="4" t="e">
        <s:f>((B23-B24)/B23)*100</s:f>
        <s:v>#DIV/0!</s:v>
      </s:c>
      <s:c r="H24" s="9" t="s">
        <s:v>10</s:v>
      </s:c>
      <s:c r="I24" s="9"/>
      <s:c r="J24" s="9"/>
    </s:row>
    <s:row x14ac:dyDescent="0.35" r="25" spans="1:10" s="4" customFormat="1" ht="19.5" customHeight="1" thickBot="1">
      <s:c r="A25" s="23" t="s">
        <s:v>75</s:v>
      </s:c>
      <s:c r="B25" s="23"/>
      <s:c r="C25" s="23"/>
      <s:c r="D25" s="23"/>
      <s:c r="E25" s="23"/>
      <s:c r="F25" s="23"/>
      <s:c r="G25" s="23"/>
      <s:c r="H25" s="23"/>
      <s:c r="I25" s="23"/>
      <s:c r="J25" s="23"/>
    </s:row>
    <s:row x14ac:dyDescent="0.3" r="26" spans="1:10" s="4" customFormat="1" ht="14.25" customHeight="1" thickTop="1">
      <s:c r="A26" s="4" t="s">
        <s:v>49</s:v>
      </s:c>
      <s:c r="C26" s="4" t="s">
        <s:v>20</s:v>
      </s:c>
      <s:c r="E26" s="16" t="s">
        <s:v>73</s:v>
      </s:c>
      <s:c r="F26" s="16"/>
      <s:c r="G26" s="16"/>
      <s:c r="H26" s="16"/>
      <s:c r="I26" s="4" t="s">
        <s:v>72</s:v>
      </s:c>
    </s:row>
    <s:row x14ac:dyDescent="0.35" r="27" spans="1:10" s="4" customFormat="1" ht="19.5" customHeight="1" thickBot="1">
      <s:c r="A27" s="23" t="s">
        <s:v>21</s:v>
      </s:c>
      <s:c r="B27" s="23"/>
      <s:c r="C27" s="23"/>
      <s:c r="D27" s="23"/>
      <s:c r="E27" s="23"/>
      <s:c r="F27" s="23"/>
      <s:c r="G27" s="23"/>
      <s:c r="H27" s="23"/>
      <s:c r="I27" s="23"/>
      <s:c r="J27" s="23"/>
    </s:row>
    <s:row x14ac:dyDescent="0.3" r="28" spans="1:10" s="4" customFormat="1" ht="14.25" customHeight="1" thickTop="1">
      <s:c r="A28" s="4" t="s">
        <s:v>51</s:v>
      </s:c>
      <s:c r="B28" s="4"/>
      <s:c r="C28" s="4" t="s">
        <s:v>20</s:v>
      </s:c>
      <s:c r="F28" s="4" t="s">
        <s:v>23</s:v>
      </s:c>
      <s:c r="G28" s="4" t="e">
        <s:f>B28/B23*100</s:f>
        <s:v>#DIV/0!</s:v>
      </s:c>
      <s:c r="H28" s="4" t="s">
        <s:v>10</s:v>
      </s:c>
    </s:row>
    <s:row x14ac:dyDescent="0.3" r="29" spans="1:10" s="4" customFormat="1" ht="14.25" customHeight="1">
      <s:c r="A29" s="4" t="s">
        <s:v>22</s:v>
      </s:c>
      <s:c r="C29" s="4" t="s">
        <s:v>20</s:v>
      </s:c>
      <s:c r="F29" s="4" t="s">
        <s:v>69</s:v>
      </s:c>
      <s:c r="G29" s="4" t="e">
        <s:f>B29/B20*100</s:f>
        <s:v>#DIV/0!</s:v>
      </s:c>
      <s:c r="H29" s="4" t="s">
        <s:v>10</s:v>
      </s:c>
    </s:row>
    <s:row x14ac:dyDescent="0.35" r="30" spans="1:10" s="4" customFormat="1" ht="19.5" customHeight="1" thickBot="1">
      <s:c r="A30" s="23" t="s">
        <s:v>24</s:v>
      </s:c>
      <s:c r="B30" s="23"/>
      <s:c r="C30" s="23"/>
      <s:c r="D30" s="23"/>
      <s:c r="E30" s="23"/>
      <s:c r="F30" s="23"/>
      <s:c r="G30" s="23"/>
      <s:c r="H30" s="23"/>
      <s:c r="I30" s="23"/>
      <s:c r="J30" s="23"/>
    </s:row>
    <s:row x14ac:dyDescent="0.3" r="31" spans="1:10" s="4" customFormat="1" ht="14.25" customHeight="1" thickTop="1">
      <s:c r="A31" s="4" t="s">
        <s:v>25</s:v>
      </s:c>
      <s:c r="B31" s="5" t="s">
        <s:v>26</s:v>
      </s:c>
      <s:c r="C31" s="2"/>
      <s:c r="D31" s="2"/>
      <s:c r="F31" s="4" t="s">
        <s:v>27</s:v>
      </s:c>
      <s:c r="G31" s="6" t="s">
        <s:v>4</s:v>
      </s:c>
    </s:row>
    <s:row x14ac:dyDescent="0.3" r="32" spans="1:10" s="4" customFormat="1" ht="14.25" customHeight="1">
      <s:c r="A32" s="4" t="s">
        <s:v>28</s:v>
      </s:c>
      <s:c r="C32" s="4" t="s">
        <s:v>29</s:v>
      </s:c>
    </s:row>
    <s:row x14ac:dyDescent="0.3" r="33" spans="1:10" s="4" customFormat="1" ht="14.25" customHeight="1">
      <s:c r="A33" s="4" t="s">
        <s:v>31</s:v>
      </s:c>
      <s:c r="C33" s="4" t="s">
        <s:v>29</s:v>
      </s:c>
      <s:c r="F33" s="4" t="s">
        <s:v>30</s:v>
      </s:c>
      <s:c r="G33" s="4" t="e">
        <s:f>B32/B33</s:f>
        <s:v>#DIV/0!</s:v>
      </s:c>
    </s:row>
    <s:row x14ac:dyDescent="0.3" r="34" spans="1:10" s="4" customFormat="1" ht="14.25" customHeight="1">
      <s:c r="A34" s="4" t="s">
        <s:v>32</s:v>
      </s:c>
      <s:c r="C34" s="4" t="s">
        <s:v>33</s:v>
      </s:c>
    </s:row>
    <s:row x14ac:dyDescent="0.3" r="35" spans="1:10" s="4" customFormat="1" ht="14.25" customHeight="1">
      <s:c r="A35" s="4" t="s">
        <s:v>76</s:v>
      </s:c>
      <s:c r="C35" s="6" t="s">
        <s:v>102</s:v>
      </s:c>
      <s:c r="F35" s="4" t="s">
        <s:v>77</s:v>
      </s:c>
      <s:c r="G35" s="4" t="e">
        <s:f>B32*100/B35</s:f>
        <s:v>#DIV/0!</s:v>
      </s:c>
    </s:row>
    <s:row x14ac:dyDescent="0.3" r="36" spans="1:10" s="4" customFormat="1" ht="14.25" customHeight="1">
      <s:c r="A36" s="6" t="s">
        <s:v>101</s:v>
      </s:c>
      <s:c r="C36" s="6" t="s">
        <s:v>102</s:v>
      </s:c>
    </s:row>
    <s:row x14ac:dyDescent="0.35" r="37" spans="1:10" s="4" customFormat="1" ht="14.25" customHeight="1" thickBot="1">
      <s:c r="A37" s="19" t="s">
        <s:v>92</s:v>
      </s:c>
      <s:c r="B37" s="19"/>
      <s:c r="C37" s="19"/>
      <s:c r="D37" s="19"/>
      <s:c r="E37" s="19"/>
      <s:c r="F37" s="19"/>
      <s:c r="G37" s="19"/>
      <s:c r="H37" s="19"/>
      <s:c r="I37" s="19"/>
      <s:c r="J37" s="19"/>
    </s:row>
    <s:row x14ac:dyDescent="0.3" r="38" spans="1:10" s="4" customFormat="1" ht="14.25" customHeight="1">
      <s:c r="A38" s="4" t="s">
        <s:v>35</s:v>
      </s:c>
      <s:c r="B38" s="16">
        <s:v>0</s:v>
      </s:c>
      <s:c r="C38" s="16"/>
      <s:c r="D38" s="16"/>
    </s:row>
    <s:row x14ac:dyDescent="0.3" r="39" spans="1:10" s="4" customFormat="1" ht="14.25" customHeight="1">
      <s:c r="A39" s="4" t="s">
        <s:v>36</s:v>
      </s:c>
      <s:c r="C39" s="4" t="s">
        <s:v>34</s:v>
      </s:c>
      <s:c r="E39" s="15" t="s">
        <s:v>37</s:v>
      </s:c>
      <s:c r="F39" s="15"/>
      <s:c r="G39" s="4">
        <s:f>4*(B39^2)</s:f>
        <s:v>0</s:v>
      </s:c>
      <s:c r="H39" s="4" t="s">
        <s:v>38</s:v>
      </s:c>
    </s:row>
    <s:row x14ac:dyDescent="0.35" r="40" spans="1:10" ht="16.2" thickBot="1">
      <s:c r="A40" s="23" t="s">
        <s:v>39</s:v>
      </s:c>
      <s:c r="B40" s="23"/>
      <s:c r="C40" s="23"/>
      <s:c r="D40" s="23"/>
      <s:c r="E40" s="23"/>
      <s:c r="F40" s="23"/>
      <s:c r="G40" s="23"/>
      <s:c r="H40" s="23"/>
      <s:c r="I40" s="23"/>
      <s:c r="J40" s="23"/>
    </s:row>
    <s:row x14ac:dyDescent="0.3" r="41" spans="1:10" s="4" customFormat="1" thickTop="1">
      <s:c r="A41" s="4" t="s">
        <s:v>25</s:v>
      </s:c>
      <s:c r="B41" t="s">
        <s:v>26</s:v>
      </s:c>
      <s:c r="C41"/>
      <s:c r="D41" s="13" t="s">
        <s:v>79</s:v>
      </s:c>
      <s:c r="E41" s="13"/>
      <s:c r="F41" s="13" t="s">
        <s:v>4</s:v>
      </s:c>
      <s:c r="G41" s="13"/>
      <s:c r="H41" s="4" t="s">
        <s:v>80</s:v>
      </s:c>
      <s:c r="I41" s="13" t="s">
        <s:v>56</s:v>
      </s:c>
      <s:c r="J41" s="13"/>
    </s:row>
    <s:row x14ac:dyDescent="0.3" r="42" spans="1:10" s="4" customFormat="1" ht="14.4">
      <s:c r="A42" s="4" t="s">
        <s:v>42</s:v>
      </s:c>
      <s:c r="B42" s="4">
        <s:f>B12</s:f>
        <s:v>0</s:v>
      </s:c>
      <s:c r="C42" s="4" t="s">
        <s:v>20</s:v>
      </s:c>
      <s:c r="E42" s="14"/>
      <s:c r="F42" s="14"/>
    </s:row>
    <s:row x14ac:dyDescent="0.3" r="43" spans="1:10" s="4" customFormat="1" ht="14.4">
      <s:c r="A43" s="4" t="s">
        <s:v>40</s:v>
      </s:c>
      <s:c r="C43" s="4" t="s">
        <s:v>34</s:v>
      </s:c>
      <s:c r="E43" s="15" t="s">
        <s:v>37</s:v>
      </s:c>
      <s:c r="F43" s="15"/>
      <s:c r="G43" s="4">
        <s:f>4*(B43^2)</s:f>
        <s:v>0</s:v>
      </s:c>
      <s:c r="H43" s="4" t="s">
        <s:v>38</s:v>
      </s:c>
    </s:row>
    <s:row x14ac:dyDescent="0.35" r="44" spans="1:10" s="4" customFormat="1" thickBot="1">
      <s:c r="A44" s="19" t="s">
        <s:v>78</s:v>
      </s:c>
      <s:c r="B44" s="19"/>
      <s:c r="C44" s="19"/>
      <s:c r="D44" s="19"/>
      <s:c r="E44" s="19"/>
      <s:c r="F44" s="19"/>
      <s:c r="G44" s="19"/>
      <s:c r="H44" s="19"/>
      <s:c r="I44" s="19"/>
      <s:c r="J44" s="19"/>
    </s:row>
    <s:row x14ac:dyDescent="0.3" r="45" spans="1:10" s="4" customFormat="1" ht="14.4">
      <s:c r="A45" s="4" t="s">
        <s:v>35</s:v>
      </s:c>
      <s:c r="B45" s="4">
        <s:v>0</s:v>
      </s:c>
    </s:row>
    <s:row x14ac:dyDescent="0.35" r="46" spans="1:10" s="4" customFormat="1" ht="19.5" customHeight="1" thickBot="1">
      <s:c r="A46" s="23" t="s">
        <s:v>41</s:v>
      </s:c>
      <s:c r="B46" s="23"/>
      <s:c r="C46" s="23"/>
      <s:c r="D46" s="23"/>
      <s:c r="E46" s="23"/>
      <s:c r="F46" s="23"/>
      <s:c r="G46" s="23"/>
      <s:c r="H46" s="23"/>
      <s:c r="I46" s="23"/>
      <s:c r="J46" s="23"/>
    </s:row>
    <s:row x14ac:dyDescent="0.3" r="47" spans="1:10" s="4" customFormat="1" thickTop="1">
      <s:c r="A47" t="s">
        <s:v>25</s:v>
      </s:c>
      <s:c r="B47" t="s">
        <s:v>26</s:v>
      </s:c>
      <s:c r="C47"/>
      <s:c r="D47" s="13" t="s">
        <s:v>79</s:v>
      </s:c>
      <s:c r="E47" s="13"/>
      <s:c r="F47" s="13" t="s">
        <s:v>4</s:v>
      </s:c>
      <s:c r="G47" s="13"/>
      <s:c r="H47" t="s">
        <s:v>81</s:v>
      </s:c>
      <s:c r="I47" s="13" t="s">
        <s:v>56</s:v>
      </s:c>
      <s:c r="J47" s="13"/>
    </s:row>
    <s:row x14ac:dyDescent="0.3" r="48" spans="1:10" s="4" customFormat="1" ht="14.25" customHeight="1">
      <s:c r="A48" s="4" t="s">
        <s:v>42</s:v>
      </s:c>
      <s:c r="C48" s="4" t="s">
        <s:v>20</s:v>
      </s:c>
      <s:c r="F48" s="4" t="s">
        <s:v>96</s:v>
      </s:c>
      <s:c r="H48" s="2" t="s">
        <s:v>20</s:v>
      </s:c>
      <s:c r="I48" s="2" t="s">
        <s:v>60</s:v>
      </s:c>
      <s:c r="J48" s="4" t="e">
        <s:f>B42/B48</s:f>
        <s:v>#DIV/0!</s:v>
      </s:c>
    </s:row>
    <s:row x14ac:dyDescent="0.3" r="49" spans="1:10" s="4" customFormat="1" ht="14.4">
      <s:c r="A49" s="4" t="s">
        <s:v>40</s:v>
      </s:c>
      <s:c r="C49" s="4" t="s">
        <s:v>34</s:v>
      </s:c>
      <s:c r="E49" s="15" t="s">
        <s:v>37</s:v>
      </s:c>
      <s:c r="F49" s="15"/>
      <s:c r="G49" s="4">
        <s:f>4*(B49^2)</s:f>
        <s:v>0</s:v>
      </s:c>
      <s:c r="H49" s="4" t="s">
        <s:v>38</s:v>
      </s:c>
    </s:row>
    <s:row x14ac:dyDescent="0.35" r="50" spans="1:10" s="4" customFormat="1" thickBot="1">
      <s:c r="A50" s="19" t="s">
        <s:v>78</s:v>
      </s:c>
      <s:c r="B50" s="19"/>
      <s:c r="C50" s="19"/>
      <s:c r="D50" s="19"/>
      <s:c r="E50" s="19"/>
      <s:c r="F50" s="19"/>
      <s:c r="G50" s="19"/>
      <s:c r="H50" s="19"/>
      <s:c r="I50" s="19"/>
      <s:c r="J50" s="19"/>
    </s:row>
    <s:row x14ac:dyDescent="0.3" r="51" spans="1:10" s="4" customFormat="1" ht="14.4">
      <s:c r="A51" s="4" t="s">
        <s:v>35</s:v>
      </s:c>
      <s:c r="B51" s="4">
        <s:v>0</s:v>
      </s:c>
    </s:row>
    <s:row x14ac:dyDescent="0.35" r="52" spans="1:10" s="4" customFormat="1" thickBot="1">
      <s:c r="A52" s="4" t="s">
        <s:v>36</s:v>
      </s:c>
      <s:c r="C52" s="4" t="s">
        <s:v>34</s:v>
      </s:c>
      <s:c r="E52" s="15" t="s">
        <s:v>37</s:v>
      </s:c>
      <s:c r="F52" s="15"/>
      <s:c r="G52" s="4">
        <s:f>4*(B52^2)</s:f>
        <s:v>0</s:v>
      </s:c>
      <s:c r="H52" s="4" t="s">
        <s:v>38</s:v>
      </s:c>
    </s:row>
    <s:row x14ac:dyDescent="0.35" r="53" spans="1:10" s="4" customFormat="1" ht="19.5" customHeight="1" thickBot="1">
      <s:c r="A53" s="23" t="s">
        <s:v>43</s:v>
      </s:c>
      <s:c r="B53" s="23"/>
      <s:c r="C53" s="23"/>
      <s:c r="D53" s="23"/>
      <s:c r="E53" s="23"/>
      <s:c r="F53" s="23"/>
      <s:c r="G53" s="23"/>
      <s:c r="H53" s="23"/>
      <s:c r="I53" s="23"/>
      <s:c r="J53" s="23"/>
    </s:row>
    <s:row x14ac:dyDescent="0.3" r="54" spans="1:10" customFormat="1" ht="14.25" customHeight="1" thickTop="1">
      <s:c r="A54" t="s">
        <s:v>25</s:v>
      </s:c>
      <s:c r="B54" s="13" t="s">
        <s:v>26</s:v>
      </s:c>
      <s:c r="C54" s="13"/>
      <s:c r="G54" s="13"/>
      <s:c r="H54" s="13"/>
    </s:row>
    <s:row x14ac:dyDescent="0.35" r="55" spans="1:10" s="4" customFormat="1" ht="14.25" customHeight="1" thickBot="1">
      <s:c r="A55" s="19" t="s">
        <s:v>92</s:v>
      </s:c>
      <s:c r="B55" s="19"/>
      <s:c r="C55" s="19"/>
      <s:c r="D55" s="19"/>
      <s:c r="E55" s="19"/>
      <s:c r="F55" s="19"/>
      <s:c r="G55" s="19"/>
      <s:c r="H55" s="19"/>
      <s:c r="I55" s="19"/>
      <s:c r="J55" s="19"/>
    </s:row>
    <s:row x14ac:dyDescent="0.3" r="56" spans="1:10" s="4" customFormat="1" ht="14.25" customHeight="1">
      <s:c r="A56" s="4" t="s">
        <s:v>82</s:v>
      </s:c>
      <s:c r="B56" s="4">
        <s:v>0</s:v>
      </s:c>
    </s:row>
    <s:row x14ac:dyDescent="0.3" r="57" spans="1:10" s="4" customFormat="1" ht="14.25" customHeight="1">
      <s:c r="A57" s="4" t="s">
        <s:v>36</s:v>
      </s:c>
      <s:c r="C57" s="4" t="s">
        <s:v>34</s:v>
      </s:c>
      <s:c r="E57" s="15" t="s">
        <s:v>37</s:v>
      </s:c>
      <s:c r="F57" s="15"/>
      <s:c r="G57" s="4">
        <s:f>4*(B57^2)</s:f>
        <s:v>0</s:v>
      </s:c>
      <s:c r="H57" s="4" t="s">
        <s:v>38</s:v>
      </s:c>
    </s:row>
    <s:row x14ac:dyDescent="0.45" r="58" spans="1:10" s="4" customFormat="1" ht="22.2" customHeight="1" thickBot="1">
      <s:c r="A58" s="23" t="s">
        <s:v>84</s:v>
      </s:c>
      <s:c r="B58" s="23"/>
      <s:c r="C58" s="23"/>
      <s:c r="D58" s="23"/>
      <s:c r="E58" s="23"/>
      <s:c r="F58" s="23"/>
      <s:c r="G58" s="24" t="s">
        <s:v>85</s:v>
      </s:c>
      <s:c r="H58" s="24"/>
      <s:c r="I58" s="24"/>
      <s:c r="J58" s="8"/>
    </s:row>
    <s:row x14ac:dyDescent="0.35" r="59" spans="1:10" s="4" customFormat="1" ht="18" customHeight="1" thickTop="1" thickBot="1">
      <s:c r="A59" s="26" t="s">
        <s:v>44</s:v>
      </s:c>
      <s:c r="B59" s="26"/>
      <s:c r="C59" s="26"/>
      <s:c r="D59" s="26"/>
      <s:c r="E59" s="26"/>
      <s:c r="F59" s="26"/>
      <s:c r="G59" s="26"/>
      <s:c r="H59" s="26"/>
      <s:c r="I59" s="26"/>
      <s:c r="J59" s="26"/>
    </s:row>
    <s:row x14ac:dyDescent="0.3" r="60" spans="1:10" s="4" customFormat="1" ht="14.25" customHeight="1" thickTop="1">
      <s:c r="A60" s="16" t="s">
        <s:v>98</s:v>
      </s:c>
      <s:c r="B60" s="16"/>
      <s:c r="C60" s="16"/>
      <s:c r="D60" s="16"/>
      <s:c r="G60" s="2"/>
      <s:c r="H60" s="38" t="s">
        <s:v>67</s:v>
      </s:c>
      <s:c r="I60" s="38"/>
    </s:row>
    <s:row x14ac:dyDescent="0.3" r="61" spans="1:10" s="4" customFormat="1" ht="14.25" customHeight="1">
      <s:c r="A61" s="16" t="s">
        <s:v>52</s:v>
      </s:c>
      <s:c r="B61" s="16"/>
      <s:c r="C61" s="16"/>
      <s:c r="D61" s="16"/>
      <s:c r="G61" s="2"/>
      <s:c r="H61" s="16" t="s">
        <s:v>57</s:v>
      </s:c>
      <s:c r="I61" s="16"/>
    </s:row>
    <s:row x14ac:dyDescent="0.3" r="62" spans="1:10" s="4" customFormat="1" ht="14.25" customHeight="1">
      <s:c r="A62" s="16" t="s">
        <s:v>91</s:v>
      </s:c>
      <s:c r="B62" s="16"/>
      <s:c r="C62" s="16"/>
      <s:c r="D62" s="16"/>
      <s:c r="G62" s="2"/>
      <s:c r="H62" s="16" t="s">
        <s:v>59</s:v>
      </s:c>
      <s:c r="I62" s="16"/>
    </s:row>
    <s:row x14ac:dyDescent="0.3" r="63" spans="1:10" s="4" customFormat="1" ht="14.25" customHeight="1">
      <s:c r="A63" s="16" t="s">
        <s:v>53</s:v>
      </s:c>
      <s:c r="B63" s="16"/>
      <s:c r="C63" s="16"/>
      <s:c r="D63" s="16"/>
      <s:c r="E63" s="16"/>
      <s:c r="F63" s="16"/>
      <s:c r="G63" s="2"/>
      <s:c r="H63" s="16" t="s">
        <s:v>58</s:v>
      </s:c>
      <s:c r="I63" s="16"/>
    </s:row>
    <s:row x14ac:dyDescent="0.35" r="64" spans="1:10" s="4" customFormat="1" ht="14.25" customHeight="1" thickBot="1">
      <s:c r="A64" s="19" t="s">
        <s:v>62</s:v>
      </s:c>
      <s:c r="B64" s="19"/>
      <s:c r="C64" s="19"/>
      <s:c r="D64" s="19"/>
      <s:c r="G64" s="2"/>
      <s:c r="H64" s="16" t="s">
        <s:v>59</s:v>
      </s:c>
      <s:c r="I64" s="16"/>
    </s:row>
    <s:row x14ac:dyDescent="0.3" r="65" spans="1:10" s="4" customFormat="1" ht="14.25" customHeight="1">
      <s:c r="A65" s="7" t="s">
        <s:v>63</s:v>
      </s:c>
      <s:c r="B65" s="4" t="s">
        <s:v>4</s:v>
      </s:c>
      <s:c r="D65" s="7" t="s">
        <s:v>64</s:v>
      </s:c>
      <s:c r="E65" s="4" t="s">
        <s:v>4</s:v>
      </s:c>
      <s:c r="G65" s="7" t="s">
        <s:v>65</s:v>
      </s:c>
      <s:c r="H65" s="4" t="s">
        <s:v>4</s:v>
      </s:c>
    </s:row>
    <s:row x14ac:dyDescent="0.3" r="66" spans="1:10" s="4" customFormat="1" ht="14.25" customHeight="1">
      <s:c r="A66" s="16" t="s">
        <s:v>66</s:v>
      </s:c>
      <s:c r="B66" s="16"/>
      <s:c r="C66" s="16"/>
      <s:c r="D66" s="4" t="s">
        <s:v>36</s:v>
      </s:c>
      <s:c r="F66" s="4" t="s">
        <s:v>34</s:v>
      </s:c>
      <s:c r="G66" s="4" t="s">
        <s:v>37</s:v>
      </s:c>
      <s:c r="I66" s="4">
        <s:f>4*(E66^2)</s:f>
        <s:v>0</s:v>
      </s:c>
      <s:c r="J66" s="4" t="s">
        <s:v>38</s:v>
      </s:c>
    </s:row>
    <s:row x14ac:dyDescent="0.3" r="67" spans="1:10" s="4" customFormat="1" ht="14.25" customHeight="1">
      <s:c r="A67" s="4" t="s">
        <s:v>68</s:v>
      </s:c>
      <s:c r="B67" s="16"/>
      <s:c r="C67" s="16"/>
      <s:c r="D67" s="16"/>
      <s:c r="E67" s="16"/>
      <s:c r="F67" s="16"/>
      <s:c r="G67" s="16"/>
      <s:c r="H67" s="16"/>
    </s:row>
    <s:row x14ac:dyDescent="0.4" r="68" spans="1:10" s="4" customFormat="1" ht="23.4" customHeight="1" thickBot="1">
      <s:c r="A68" s="20" t="s">
        <s:v>54</s:v>
      </s:c>
      <s:c r="B68" s="20"/>
      <s:c r="C68" s="20"/>
      <s:c r="D68" s="20"/>
      <s:c r="E68" s="20"/>
      <s:c r="F68" s="20"/>
      <s:c r="G68" s="20"/>
      <s:c r="H68" s="20"/>
      <s:c r="I68" s="20"/>
      <s:c r="J68" s="20"/>
    </s:row>
    <s:row x14ac:dyDescent="0.3" r="69" spans="1:10" s="4" customFormat="1" ht="19.5" customHeight="1" thickTop="1">
      <s:c r="A69" s="21"/>
      <s:c r="B69" s="21"/>
      <s:c r="C69" s="21"/>
      <s:c r="D69" s="21"/>
      <s:c r="E69" s="21"/>
      <s:c r="F69" s="21"/>
      <s:c r="G69" s="21"/>
      <s:c r="H69" s="21"/>
      <s:c r="I69" s="21"/>
      <s:c r="J69" s="21"/>
    </s:row>
    <s:row x14ac:dyDescent="0.3" r="70" spans="1:10" s="4" customFormat="1" ht="15" customHeight="1">
      <s:c r="A70" s="22"/>
      <s:c r="B70" s="22"/>
      <s:c r="C70" s="22"/>
      <s:c r="D70" s="22"/>
      <s:c r="E70" s="22"/>
      <s:c r="F70" s="22"/>
      <s:c r="G70" s="22"/>
      <s:c r="H70" s="22"/>
      <s:c r="I70" s="22"/>
      <s:c r="J70" s="22"/>
    </s:row>
    <s:row x14ac:dyDescent="0.4" r="71" spans="1:10" s="4" customFormat="1" ht="28.2" customHeight="1" thickBot="1">
      <s:c r="A71" s="20" t="s">
        <s:v>55</s:v>
      </s:c>
      <s:c r="B71" s="20"/>
      <s:c r="C71" s="20"/>
      <s:c r="D71" s="20"/>
      <s:c r="E71" s="20"/>
      <s:c r="F71" s="20"/>
      <s:c r="G71" s="20"/>
      <s:c r="H71" s="20"/>
      <s:c r="I71" s="20"/>
      <s:c r="J71" s="20"/>
    </s:row>
    <s:row x14ac:dyDescent="0.3" r="72" spans="1:10" s="4" customFormat="1" ht="14.25" customHeight="1" thickTop="1">
      <s:c r="A72" s="21"/>
      <s:c r="B72" s="21"/>
      <s:c r="C72" s="21"/>
      <s:c r="D72" s="21"/>
      <s:c r="E72" s="21"/>
      <s:c r="F72" s="21"/>
      <s:c r="G72" s="21"/>
      <s:c r="H72" s="21"/>
      <s:c r="I72" s="21"/>
      <s:c r="J72" s="21"/>
    </s:row>
    <s:row x14ac:dyDescent="0.3" r="73" spans="1:10" s="4" customFormat="1" ht="15.75" customHeight="1">
      <s:c r="A73" s="22"/>
      <s:c r="B73" s="22"/>
      <s:c r="C73" s="22"/>
      <s:c r="D73" s="22"/>
      <s:c r="E73" s="22"/>
      <s:c r="F73" s="22"/>
      <s:c r="G73" s="22"/>
      <s:c r="H73" s="22"/>
      <s:c r="I73" s="22"/>
      <s:c r="J73" s="22"/>
    </s:row>
    <s:row x14ac:dyDescent="0.3" r="74" spans="1:10" s="4" customFormat="1" ht="14.25" customHeight="1">
      <s:c r="A74" s="22"/>
      <s:c r="B74" s="22"/>
      <s:c r="C74" s="22"/>
      <s:c r="D74" s="22"/>
      <s:c r="E74" s="22"/>
      <s:c r="F74" s="22"/>
      <s:c r="G74" s="22"/>
      <s:c r="H74" s="22"/>
      <s:c r="I74" s="22"/>
      <s:c r="J74" s="22"/>
    </s:row>
    <s:row x14ac:dyDescent="0.3" r="75" spans="1:10" s="4" customFormat="1" ht="10.8" customHeight="1">
      <s:c r="A75" s="22"/>
      <s:c r="B75" s="22"/>
      <s:c r="C75" s="22"/>
      <s:c r="D75" s="22"/>
      <s:c r="E75" s="22"/>
      <s:c r="F75" s="22"/>
      <s:c r="G75" s="22"/>
      <s:c r="H75" s="22"/>
      <s:c r="I75" s="22"/>
      <s:c r="J75" s="22"/>
    </s:row>
    <s:row x14ac:dyDescent="0.3" r="76" spans="1:10" s="4" customFormat="1" ht="30" customHeight="1">
      <s:c r="A76" s="36" t="s">
        <s:v>70</s:v>
      </s:c>
      <s:c r="B76" s="37"/>
      <s:c r="C76" s="37"/>
      <s:c r="D76" s="37"/>
      <s:c r="E76" s="37"/>
      <s:c r="F76" s="37"/>
      <s:c r="G76" s="37"/>
      <s:c r="H76" s="37"/>
      <s:c r="I76" s="37"/>
      <s:c r="J76" s="37"/>
    </s:row>
    <s:row x14ac:dyDescent="0.4" r="77" spans="1:10" s="4" customFormat="1" ht="17.25" customHeight="1" thickBot="1">
      <s:c r="A77" s="18" t="s">
        <s:v>45</s:v>
      </s:c>
      <s:c r="B77" s="18"/>
      <s:c r="C77" s="16"/>
      <s:c r="D77" s="16"/>
      <s:c r="E77" s="16"/>
      <s:c r="F77" s="16"/>
      <s:c r="G77" s="16"/>
      <s:c r="H77" s="16"/>
    </s:row>
    <s:row x14ac:dyDescent="0.4" r="78" spans="1:10" s="4" customFormat="1" ht="19.5" customHeight="1" thickTop="1" thickBot="1">
      <s:c r="A78" s="17" t="s">
        <s:v>97</s:v>
      </s:c>
      <s:c r="B78" s="17"/>
      <s:c r="C78" s="17"/>
      <s:c r="D78" s="17"/>
      <s:c r="E78" s="17"/>
      <s:c r="F78" s="17"/>
      <s:c r="G78" s="17"/>
      <s:c r="H78" s="17"/>
    </s:row>
    <s:row x14ac:dyDescent="0.35" r="79" spans="1:10" s="4" customFormat="1" ht="13.8" customHeight="1" thickTop="1" thickBot="1">
      <s:c r="A79" s="35" t="s">
        <s:v>90</s:v>
      </s:c>
      <s:c r="B79" s="35"/>
      <s:c r="C79" s="35"/>
      <s:c r="D79" s="35"/>
      <s:c r="E79" s="35"/>
      <s:c r="F79" s="35"/>
      <s:c r="G79" s="35"/>
      <s:c r="H79" s="35"/>
      <s:c r="I79" s="35"/>
      <s:c r="J79" s="35"/>
    </s:row>
    <s:row x14ac:dyDescent="0.3" r="80" spans="1:10" s="4" customFormat="1" ht="19.2" customHeight="1">
      <s:c r="A80" s="12" t="s">
        <s:v>89</s:v>
      </s:c>
      <s:c r="B80" s="12"/>
      <s:c r="C80" s="12"/>
      <s:c r="D80" s="12"/>
      <s:c r="E80" s="12"/>
      <s:c r="F80" s="12"/>
      <s:c r="G80" s="12"/>
      <s:c r="H80" s="12"/>
      <s:c r="I80" s="12"/>
      <s:c r="J80" s="12"/>
    </s:row>
    <s:row x14ac:dyDescent="0.3" r="81" spans="1:17" s="4" customFormat="1" ht="14.25" customHeight="1"/>
    <s:row x14ac:dyDescent="0.3" r="82" spans="1:17" s="4" customFormat="1" ht="14.25" customHeight="1"/>
    <s:row x14ac:dyDescent="0.3" r="83" spans="1:17" s="4" customFormat="1" ht="14.25" customHeight="1"/>
    <s:row x14ac:dyDescent="0.3" r="84" spans="1:17" s="4" customFormat="1" ht="14.25" customHeight="1"/>
    <s:row x14ac:dyDescent="0.3" r="85" spans="1:17" s="4" customFormat="1" ht="14.25" customHeight="1"/>
    <s:row x14ac:dyDescent="0.3" r="86" spans="1:17" s="4" customFormat="1" ht="14.25" customHeight="1"/>
    <s:row x14ac:dyDescent="0.3" r="87" spans="1:17" s="4" customFormat="1" ht="14.25" customHeight="1"/>
    <s:row x14ac:dyDescent="0.3" r="88" spans="1:17" s="4" customFormat="1" ht="14.25" customHeight="1"/>
    <s:row x14ac:dyDescent="0.3" r="89" spans="1:17" s="4" customFormat="1" ht="15" customHeight="1"/>
    <s:row x14ac:dyDescent="0.3" r="90" spans="1:17" s="4" customFormat="1" ht="15" customHeight="1"/>
    <s:row x14ac:dyDescent="0.3" r="91" spans="1:17" s="4" customFormat="1" ht="15" customHeight="1"/>
    <s:row x14ac:dyDescent="0.3" r="92" spans="1:17" s="4" customFormat="1" ht="15" customHeight="1"/>
    <s:row x14ac:dyDescent="0.3" r="93" spans="1:17" s="4" customFormat="1" ht="15" customHeight="1"/>
    <s:row x14ac:dyDescent="0.3" r="94" spans="1:17" s="4" customFormat="1" ht="14.25" customHeight="1"/>
    <s:row x14ac:dyDescent="0.3" r="95" spans="1:17" s="4" customFormat="1" ht="14.25" customHeight="1"/>
    <s:row x14ac:dyDescent="0.3" r="96" spans="1:17" s="4" customFormat="1" ht="15.75" customHeight="1">
      <s:c r="A96" s="1"/>
      <s:c r="B96" s="1"/>
      <s:c r="C96" s="1"/>
      <s:c r="D96" s="1"/>
      <s:c r="E96" s="1"/>
      <s:c r="F96" s="1"/>
      <s:c r="G96" s="1"/>
      <s:c r="H96" s="1"/>
      <s:c r="I96" s="1"/>
      <s:c r="J96" s="1"/>
      <s:c r="K96" s="1"/>
      <s:c r="L96" s="1"/>
      <s:c r="M96" s="1"/>
      <s:c r="N96" s="1"/>
      <s:c r="O96" s="1"/>
      <s:c r="P96" s="1"/>
      <s:c r="Q96" s="1"/>
    </s:row>
    <s:row x14ac:dyDescent="0.3" r="97" spans="1:17" ht="15.75" customHeight="1">
      <s:c r="A97" s="1"/>
      <s:c r="B97" s="1"/>
      <s:c r="C97" s="1"/>
      <s:c r="D97" s="1"/>
      <s:c r="E97" s="1"/>
      <s:c r="F97" s="1"/>
      <s:c r="G97" s="1"/>
      <s:c r="H97" s="1"/>
      <s:c r="I97" s="1"/>
      <s:c r="J97" s="1"/>
      <s:c r="K97" s="1"/>
      <s:c r="L97" s="1"/>
      <s:c r="M97" s="1"/>
      <s:c r="N97" s="1"/>
      <s:c r="O97" s="1"/>
      <s:c r="P97" s="1"/>
      <s:c r="Q97" s="1"/>
    </s:row>
    <s:row x14ac:dyDescent="0.3" r="98" spans="1:17" ht="15.75" customHeight="1">
      <s:c r="A98" s="1"/>
      <s:c r="B98" s="1"/>
      <s:c r="C98" s="1"/>
      <s:c r="D98" s="1"/>
      <s:c r="E98" s="1"/>
      <s:c r="F98" s="1"/>
      <s:c r="G98" s="1"/>
      <s:c r="H98" s="1"/>
      <s:c r="I98" s="1"/>
      <s:c r="J98" s="1"/>
      <s:c r="K98" s="1"/>
      <s:c r="L98" s="1"/>
      <s:c r="M98" s="1"/>
      <s:c r="N98" s="1"/>
      <s:c r="O98" s="1"/>
      <s:c r="P98" s="1"/>
      <s:c r="Q98" s="1"/>
    </s:row>
    <s:row x14ac:dyDescent="0.3" r="99" spans="1:17" ht="16.5" customHeight="1">
      <s:c r="A99" s="1"/>
      <s:c r="B99" s="1"/>
      <s:c r="C99" s="1"/>
      <s:c r="D99" s="1"/>
      <s:c r="E99" s="1"/>
      <s:c r="F99" s="1"/>
      <s:c r="G99" s="1"/>
      <s:c r="H99" s="1"/>
      <s:c r="I99" s="1"/>
      <s:c r="J99" s="1"/>
      <s:c r="K99" s="1"/>
      <s:c r="L99" s="1"/>
      <s:c r="M99" s="1"/>
      <s:c r="N99" s="1"/>
      <s:c r="O99" s="1"/>
      <s:c r="P99" s="1"/>
      <s:c r="Q99" s="1"/>
    </s:row>
    <s:row x14ac:dyDescent="0.3" r="100" spans="1:17" ht="16.5" customHeight="1">
      <s:c r="A100" s="1"/>
      <s:c r="B100" s="1"/>
      <s:c r="C100" s="1"/>
      <s:c r="D100" s="1"/>
      <s:c r="E100" s="1"/>
      <s:c r="F100" s="1"/>
      <s:c r="G100" s="1"/>
      <s:c r="H100" s="1"/>
      <s:c r="I100" s="1"/>
      <s:c r="J100" s="1"/>
      <s:c r="K100" s="1"/>
      <s:c r="L100" s="1"/>
      <s:c r="M100" s="1"/>
      <s:c r="N100" s="1"/>
      <s:c r="O100" s="1"/>
      <s:c r="P100" s="1"/>
      <s:c r="Q100" s="1"/>
    </s:row>
    <s:row x14ac:dyDescent="0.3" r="101" spans="1:17" ht="16.5" customHeight="1">
      <s:c r="A101" s="1"/>
      <s:c r="B101" s="1"/>
      <s:c r="C101" s="1"/>
      <s:c r="D101" s="1"/>
      <s:c r="E101" s="1"/>
      <s:c r="F101" s="1"/>
      <s:c r="G101" s="1"/>
      <s:c r="H101" s="1"/>
      <s:c r="I101" s="1"/>
      <s:c r="J101" s="1"/>
      <s:c r="K101" s="1"/>
      <s:c r="L101" s="1"/>
      <s:c r="M101" s="1"/>
      <s:c r="N101" s="1"/>
      <s:c r="O101" s="1"/>
      <s:c r="P101" s="1"/>
      <s:c r="Q101" s="1"/>
    </s:row>
    <s:row x14ac:dyDescent="0.3" r="102" spans="1:17" ht="18.75" customHeight="1">
      <s:c r="A102" s="1"/>
      <s:c r="B102" s="1"/>
      <s:c r="C102" s="1"/>
      <s:c r="D102" s="1"/>
      <s:c r="E102" s="1"/>
      <s:c r="F102" s="1"/>
      <s:c r="G102" s="1"/>
      <s:c r="H102" s="1"/>
      <s:c r="I102" s="1"/>
      <s:c r="J102" s="1"/>
      <s:c r="K102" s="1"/>
      <s:c r="L102" s="1"/>
      <s:c r="M102" s="1"/>
      <s:c r="N102" s="1"/>
      <s:c r="O102" s="1"/>
      <s:c r="P102" s="1"/>
      <s:c r="Q102" s="1"/>
    </s:row>
    <s:row x14ac:dyDescent="0.3" r="103" spans="1:17" ht="14.25" customHeight="1">
      <s:c r="I103" s="1"/>
      <s:c r="J103" s="1"/>
      <s:c r="K103" s="1"/>
      <s:c r="L103" s="1"/>
      <s:c r="M103" s="1"/>
      <s:c r="N103" s="1"/>
      <s:c r="O103" s="1"/>
      <s:c r="P103" s="1"/>
      <s:c r="Q103" s="1"/>
    </s:row>
  </s:sheetData>
  <s:mergeCells count="74">
    <s:mergeCell ref="A79:J79"/>
    <s:mergeCell ref="A76:J76"/>
    <s:mergeCell ref="A40:J40"/>
    <s:mergeCell ref="I41:J41"/>
    <s:mergeCell ref="F41:G41"/>
    <s:mergeCell ref="F47:G47"/>
    <s:mergeCell ref="I47:J47"/>
    <s:mergeCell ref="H60:I60"/>
    <s:mergeCell ref="H61:I61"/>
    <s:mergeCell ref="H63:I63"/>
    <s:mergeCell ref="H64:I64"/>
    <s:mergeCell ref="A66:C66"/>
    <s:mergeCell ref="A44:J44"/>
    <s:mergeCell ref="A46:J46"/>
    <s:mergeCell ref="A53:J53"/>
    <s:mergeCell ref="A55:J55"/>
    <s:mergeCell ref="A1:J1"/>
    <s:mergeCell ref="A2:J2"/>
    <s:mergeCell ref="E5:J5"/>
    <s:mergeCell ref="A14:J14"/>
    <s:mergeCell ref="G6:H6"/>
    <s:mergeCell ref="B6:E6"/>
    <s:mergeCell ref="C4:J4"/>
    <s:mergeCell ref="A4:B4"/>
    <s:mergeCell ref="G8:H8"/>
    <s:mergeCell ref="A9:J9"/>
    <s:mergeCell ref="A3:H3"/>
    <s:mergeCell ref="A10:E10"/>
    <s:mergeCell ref="F10:J10"/>
    <s:mergeCell ref="C7:H7"/>
    <s:mergeCell ref="A7:B7"/>
    <s:mergeCell ref="B5:C5"/>
    <s:mergeCell ref="A60:D60"/>
    <s:mergeCell ref="A30:J30"/>
    <s:mergeCell ref="A18:E18"/>
    <s:mergeCell ref="A25:J25"/>
    <s:mergeCell ref="D22:F22"/>
    <s:mergeCell ref="A59:J59"/>
    <s:mergeCell ref="E26:H26"/>
    <s:mergeCell ref="A27:J27"/>
    <s:mergeCell ref="A37:J37"/>
    <s:mergeCell ref="B38:D38"/>
    <s:mergeCell ref="A17:J17"/>
    <s:mergeCell ref="F18:J18"/>
    <s:mergeCell ref="A22:C22"/>
    <s:mergeCell ref="A50:J50"/>
    <s:mergeCell ref="A58:F58"/>
    <s:mergeCell ref="A21:C21"/>
    <s:mergeCell ref="D21:J21"/>
    <s:mergeCell ref="G54:H54"/>
    <s:mergeCell ref="B54:C54"/>
    <s:mergeCell ref="G58:I58"/>
    <s:mergeCell ref="E39:F39"/>
    <s:mergeCell ref="B67:H67"/>
    <s:mergeCell ref="A68:J68"/>
    <s:mergeCell ref="A71:J71"/>
    <s:mergeCell ref="A69:J70"/>
    <s:mergeCell ref="A72:J75"/>
    <s:mergeCell ref="A80:J80"/>
    <s:mergeCell ref="D41:E41"/>
    <s:mergeCell ref="E42:F42"/>
    <s:mergeCell ref="E43:F43"/>
    <s:mergeCell ref="D47:E47"/>
    <s:mergeCell ref="E49:F49"/>
    <s:mergeCell ref="E52:F52"/>
    <s:mergeCell ref="E57:F57"/>
    <s:mergeCell ref="C77:H77"/>
    <s:mergeCell ref="A61:D61"/>
    <s:mergeCell ref="A78:H78"/>
    <s:mergeCell ref="A77:B77"/>
    <s:mergeCell ref="A64:D64"/>
    <s:mergeCell ref="A63:F63"/>
    <s:mergeCell ref="A62:D62"/>
    <s:mergeCell ref="H62:I62"/>
  </s:mergeCells>
  <s:conditionalFormatting sqref="A9 K9:P9">
    <s:cfRule text="заглавные буквы" type="containsText" dxfId="0" priority="1" operator="containsText">
      <s:formula>NOT(ISERROR(SEARCH(("заглавные буквы"),(A9))))</s:formula>
    </s:cfRule>
  </s:conditionalFormatting>
  <s:pageMargins left="0.7" right="0.7" top="0.75" bottom="0.75" header="0" footer="0"/>
  <s:pageSetup paperSize="9" orientation="portrait" r:id="rId1"/>
</s:worksheet>
</file>

<file path=docProps/app.xml><?xml version="1.0" encoding="utf-8"?>
<ep:Properties xmlns:ep="http://schemas.openxmlformats.org/officeDocument/2006/extended-properties" xmlns:vt="http://schemas.openxmlformats.org/officeDocument/2006/docPropsVTypes">
  <ep:Application>Microsoft Excel</ep:Application>
  <ep:DocSecurity>0</ep:DocSecurity>
  <ep:ScaleCrop>0</ep:ScaleCrop>
  <ep:HeadingPairs>
    <vt:vector size="2" baseType="variant">
      <vt:variant>
        <vt:lpstr>Листы</vt:lpstr>
      </vt:variant>
      <vt:variant>
        <vt:i4>1</vt:i4>
      </vt:variant>
    </vt:vector>
  </ep:HeadingPairs>
  <ep:TitlesOfParts>
    <vt:vector size="1" baseType="lpstr">
      <vt:lpstr>Лист1</vt:lpstr>
    </vt:vector>
  </ep:TitlesOfParts>
  <ep:Company/>
  <ep:LinksUpToDate>0</ep:LinksUpToDate>
  <ep:SharedDoc>0</ep:SharedDoc>
  <ep:HyperlinksChanged>0</ep:HyperlinksChanged>
  <ep:AppVersion>16.0300</ep:AppVersion>
</ep:Properties>
</file>

<file path=docProps/core.xml><?xml version="1.0" encoding="utf-8"?>
<cp:coreProperties xmlns:dcterms="http://purl.org/dc/terms/" xmlns:dc="http://purl.org/dc/elements/1.1/" xmlns:xsi="http://www.w3.org/2001/XMLSchema-instance" xmlns:cp="http://schemas.openxmlformats.org/package/2006/metadata/core-properties">
  <dc:creator>One</dc:creator>
  <cp:lastModifiedBy>olga</cp:lastModifiedBy>
  <cp:lastPrinted>2025-08-17T11:43:40Z</cp:lastPrinted>
  <dcterms:created xsi:type="dcterms:W3CDTF">2023-03-01T11:25:28Z</dcterms:created>
  <dcterms:modified xsi:type="dcterms:W3CDTF">2025-10-20T12:35:50Z</dcterms:modified>
</cp:coreProperties>
</file>